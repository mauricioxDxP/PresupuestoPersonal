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A38171F7-F401-49E3-A576-746640064A49}" xr6:coauthVersionLast="47" xr6:coauthVersionMax="47" xr10:uidLastSave="{00000000-0000-0000-0000-000000000000}"/>
  <bookViews>
    <workbookView xWindow="51480" yWindow="-120" windowWidth="29040" windowHeight="15720" tabRatio="748" xr2:uid="{00000000-000D-0000-FFFF-FFFF00000000}"/>
  </bookViews>
  <sheets>
    <sheet name="Hoja23" sheetId="2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18" i="24" l="1"/>
  <c r="D33" i="24" l="1"/>
  <c r="D32" i="24"/>
  <c r="D31" i="24"/>
  <c r="D30" i="24"/>
  <c r="D29" i="24"/>
  <c r="D28" i="24"/>
  <c r="D27" i="24"/>
  <c r="K24" i="24"/>
  <c r="K23" i="24"/>
  <c r="K22" i="24"/>
  <c r="K21" i="24"/>
  <c r="K20" i="24"/>
  <c r="K19" i="24"/>
  <c r="K18" i="24"/>
  <c r="K13" i="24"/>
  <c r="K12" i="24"/>
  <c r="K11" i="24"/>
  <c r="K10" i="24"/>
  <c r="K9" i="24"/>
  <c r="K8" i="24"/>
  <c r="K7" i="24"/>
  <c r="D34" i="24" l="1"/>
  <c r="K28" i="24" s="1"/>
  <c r="K25" i="24"/>
  <c r="K14" i="24"/>
  <c r="K27" i="24" l="1"/>
  <c r="K30" i="24" l="1"/>
  <c r="K31" i="2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Andy</author>
  </authors>
  <commentList>
    <comment ref="I11" authorId="0" shapeId="0" xr:uid="{00000000-0006-0000-1700-000001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REPARACION DE MANGUERA HIDRAULICA DEL CABEZAL DE COSECHADORA S680</t>
        </r>
      </text>
    </comment>
    <comment ref="B18" authorId="0" shapeId="0" xr:uid="{00000000-0006-0000-1700-000002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LUIS Y NANO TRABAJO EN PEÑA ALMUERZO
DANIEL TRABAJO EN INTI ALMUERZO</t>
        </r>
      </text>
    </comment>
    <comment ref="I19" authorId="0" shapeId="0" xr:uid="{00000000-0006-0000-1700-000003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FUMIGADO EN PEÑA
DANIEL Y LUIS</t>
        </r>
      </text>
    </comment>
    <comment ref="B20" authorId="0" shapeId="0" xr:uid="{00000000-0006-0000-1700-000004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NANO. GABRIEL, GERMAN TRABAJO EN INTI CORTE DE PLANTA FLOR AMARILLA
ALMUERZO DE LUIS TRABAJO FUMIGADO PEÑA</t>
        </r>
      </text>
    </comment>
    <comment ref="B21" authorId="0" shapeId="0" xr:uid="{00000000-0006-0000-1700-000005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ALMUERZO NANO,GABRIEL, GERMAN TRABAJO EN INTI 
 LUIS FUMIGADO EN PEÑA</t>
        </r>
      </text>
    </comment>
    <comment ref="B22" authorId="0" shapeId="0" xr:uid="{00000000-0006-0000-1700-000006000000}">
      <text>
        <r>
          <rPr>
            <b/>
            <sz val="9"/>
            <color indexed="81"/>
            <rFont val="Tahoma"/>
            <charset val="1"/>
          </rPr>
          <t>Andy:</t>
        </r>
        <r>
          <rPr>
            <sz val="9"/>
            <color indexed="81"/>
            <rFont val="Tahoma"/>
            <charset val="1"/>
          </rPr>
          <t xml:space="preserve">
ALMUERZO NANO, LUIS, DANIEL, JACOB Y DAVID</t>
        </r>
      </text>
    </comment>
    <comment ref="I23" authorId="0" shapeId="0" xr:uid="{00000000-0006-0000-1700-000007000000}">
      <text>
        <r>
          <rPr>
            <b/>
            <sz val="9"/>
            <color indexed="81"/>
            <rFont val="Tahoma"/>
            <charset val="1"/>
          </rPr>
          <t>Andy
EMPANADAS 
GALLETAS</t>
        </r>
      </text>
    </comment>
  </commentList>
</comments>
</file>

<file path=xl/sharedStrings.xml><?xml version="1.0" encoding="utf-8"?>
<sst xmlns="http://schemas.openxmlformats.org/spreadsheetml/2006/main" count="39" uniqueCount="33">
  <si>
    <t>REPORTE Nº:</t>
  </si>
  <si>
    <t>PREPARADO POR:</t>
  </si>
  <si>
    <t>FECHA DE PRESENTACION:</t>
  </si>
  <si>
    <t>FECHA</t>
  </si>
  <si>
    <t>COMBUST.</t>
  </si>
  <si>
    <t>PEAJES</t>
  </si>
  <si>
    <t>SUB - TOTAL</t>
  </si>
  <si>
    <t>TOTALES</t>
  </si>
  <si>
    <t>TOTAL GASTOS =</t>
  </si>
  <si>
    <t>TOTAL CREDITOS =</t>
  </si>
  <si>
    <t>VIVERES</t>
  </si>
  <si>
    <t>BEBIDAS</t>
  </si>
  <si>
    <t>ALMUERZOS</t>
  </si>
  <si>
    <t>GASTOS PRODUCCION B</t>
  </si>
  <si>
    <t>GASTOS PRODUCCION A</t>
  </si>
  <si>
    <t>VIATICOS</t>
  </si>
  <si>
    <t>SALDO A DEVOLVER=</t>
  </si>
  <si>
    <t>VARIOS</t>
  </si>
  <si>
    <t>HENRY</t>
  </si>
  <si>
    <t>SALDO ANTERIOR=</t>
  </si>
  <si>
    <t>EFECTIVO</t>
  </si>
  <si>
    <t>TRANSFERENCIA</t>
  </si>
  <si>
    <t>GAS</t>
  </si>
  <si>
    <t>P. DE DESTAJO</t>
  </si>
  <si>
    <t>CENA</t>
  </si>
  <si>
    <t>REFRIGERIO</t>
  </si>
  <si>
    <t>COM. DRONE</t>
  </si>
  <si>
    <t>REPUESTO</t>
  </si>
  <si>
    <t>HIELO</t>
  </si>
  <si>
    <t>C. S680</t>
  </si>
  <si>
    <t>MASCOTA</t>
  </si>
  <si>
    <t>4737YLU</t>
  </si>
  <si>
    <t>ALMUERZO 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</si>
</sst>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[$-409]d\-mmm\-yy;@"/>
    <numFmt numFmtId="165" formatCode="0.00\ &quot;Bs&quot;"/>
    <numFmt numFmtId="166" formatCode="0.00000000000000"/>
    <numFmt numFmtId="167" formatCode="&quot;Bs&quot;#,##0.00"/>
  </numFmts>
  <fonts count="10" x14ac:knownFonts="1">
    <font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</font>
    <font>
      <sz val="11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</font>
    <font>
      <b/>
      <sz val="11"/>
      <color theme="1"/>
      <name val="Calibri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5" fontId="3" fillId="0" borderId="2" xfId="0" applyNumberFormat="1" applyFon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165" fontId="1" fillId="0" borderId="2" xfId="0" applyNumberFormat="1" applyFont="1" applyBorder="1" applyAlignment="1">
      <alignment horizontal="right"/>
    </xf>
    <xf numFmtId="166" fontId="0" fillId="0" borderId="0" xfId="0" applyNumberFormat="1"/>
    <xf numFmtId="165" fontId="1" fillId="0" borderId="2" xfId="0" applyNumberFormat="1" applyFont="1" applyBorder="1" applyAlignment="1">
      <alignment horizontal="center"/>
    </xf>
    <xf numFmtId="165" fontId="4" fillId="0" borderId="1" xfId="0" applyNumberFormat="1" applyFont="1" applyBorder="1" applyAlignment="1">
      <alignment horizontal="right"/>
    </xf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5" fontId="3" fillId="0" borderId="1" xfId="0" applyNumberFormat="1" applyFont="1" applyBorder="1" applyAlignment="1">
      <alignment horizontal="right"/>
    </xf>
    <xf numFmtId="165" fontId="1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6" fillId="0" borderId="2" xfId="0" applyFont="1" applyBorder="1" applyAlignment="1">
      <alignment horizontal="center"/>
    </xf>
    <xf numFmtId="0" fontId="0" fillId="0" borderId="1" xfId="0" applyBorder="1"/>
    <xf numFmtId="165" fontId="1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167" fontId="1" fillId="0" borderId="1" xfId="0" applyNumberFormat="1" applyFont="1" applyBorder="1"/>
    <xf numFmtId="165" fontId="1" fillId="0" borderId="2" xfId="0" applyNumberFormat="1" applyFont="1" applyBorder="1" applyAlignment="1">
      <alignment horizontal="center" vertical="center"/>
    </xf>
    <xf numFmtId="165" fontId="1" fillId="0" borderId="3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43" fontId="0" fillId="0" borderId="1" xfId="1" applyFont="1" applyBorder="1"/>
    <xf numFmtId="0" fontId="5" fillId="0" borderId="1" xfId="0" applyFont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34"/>
  <sheetViews>
    <sheetView tabSelected="1" topLeftCell="A7" workbookViewId="0">
      <selection activeCell="D21" sqref="D21"/>
    </sheetView>
  </sheetViews>
  <sheetFormatPr baseColWidth="10" defaultColWidth="10.85546875" defaultRowHeight="12.75" x14ac:dyDescent="0.2"/>
  <cols>
    <col min="1" max="1" width="13.85546875" style="1" customWidth="1"/>
    <col min="2" max="2" width="12.7109375" customWidth="1"/>
    <col min="3" max="3" width="13.5703125" bestFit="1" customWidth="1"/>
    <col min="4" max="4" width="14.42578125" customWidth="1"/>
    <col min="5" max="5" width="12.42578125" customWidth="1"/>
    <col min="6" max="6" width="13.42578125" customWidth="1"/>
    <col min="7" max="7" width="16.5703125" customWidth="1"/>
    <col min="8" max="8" width="8" style="1" bestFit="1" customWidth="1"/>
    <col min="9" max="9" width="15.42578125" style="1" customWidth="1"/>
    <col min="10" max="10" width="16.7109375" style="1" customWidth="1"/>
    <col min="11" max="11" width="15.5703125" customWidth="1"/>
    <col min="13" max="13" width="16.5703125" bestFit="1" customWidth="1"/>
  </cols>
  <sheetData>
    <row r="1" spans="1:11" x14ac:dyDescent="0.2">
      <c r="J1" s="2" t="s">
        <v>0</v>
      </c>
      <c r="K1" s="3">
        <v>23</v>
      </c>
    </row>
    <row r="2" spans="1:11" x14ac:dyDescent="0.2">
      <c r="J2" s="2" t="s">
        <v>1</v>
      </c>
      <c r="K2" s="3" t="s">
        <v>18</v>
      </c>
    </row>
    <row r="3" spans="1:11" ht="15" x14ac:dyDescent="0.25">
      <c r="J3" s="2" t="s">
        <v>2</v>
      </c>
      <c r="K3" s="4"/>
    </row>
    <row r="4" spans="1:11" ht="15" x14ac:dyDescent="0.25">
      <c r="J4" s="2"/>
      <c r="K4" s="13"/>
    </row>
    <row r="5" spans="1:11" ht="15.75" x14ac:dyDescent="0.25">
      <c r="A5" s="29" t="s">
        <v>14</v>
      </c>
      <c r="B5" s="29"/>
      <c r="C5" s="29"/>
      <c r="D5" s="29"/>
      <c r="E5" s="29"/>
      <c r="F5" s="29"/>
      <c r="G5" s="29"/>
      <c r="H5" s="29"/>
      <c r="I5" s="29"/>
      <c r="J5" s="29"/>
      <c r="K5" s="29"/>
    </row>
    <row r="6" spans="1:11" ht="15" x14ac:dyDescent="0.25">
      <c r="A6" s="18" t="s">
        <v>3</v>
      </c>
      <c r="B6" s="18" t="s">
        <v>4</v>
      </c>
      <c r="C6" s="18" t="s">
        <v>15</v>
      </c>
      <c r="D6" s="18" t="s">
        <v>5</v>
      </c>
      <c r="E6" s="18" t="s">
        <v>26</v>
      </c>
      <c r="F6" s="18" t="s">
        <v>27</v>
      </c>
      <c r="G6" s="18" t="s">
        <v>17</v>
      </c>
      <c r="H6" s="18" t="s">
        <v>22</v>
      </c>
      <c r="I6" s="18" t="s">
        <v>29</v>
      </c>
      <c r="J6" s="18" t="s">
        <v>31</v>
      </c>
      <c r="K6" s="18" t="s">
        <v>6</v>
      </c>
    </row>
    <row r="7" spans="1:11" ht="15" x14ac:dyDescent="0.25">
      <c r="A7" s="4">
        <v>46146</v>
      </c>
      <c r="B7" s="8">
        <v>195</v>
      </c>
      <c r="C7" s="15">
        <v>40</v>
      </c>
      <c r="D7" s="8">
        <v>3</v>
      </c>
      <c r="E7" s="15"/>
      <c r="F7" s="8"/>
      <c r="G7" s="15"/>
      <c r="H7" s="6">
        <v>30</v>
      </c>
      <c r="I7" s="15"/>
      <c r="J7" s="8"/>
      <c r="K7" s="7">
        <f t="shared" ref="K7:K9" si="0">SUM(B7:J7)</f>
        <v>268</v>
      </c>
    </row>
    <row r="8" spans="1:11" ht="15" x14ac:dyDescent="0.25">
      <c r="A8" s="4">
        <v>46147</v>
      </c>
      <c r="B8" s="8"/>
      <c r="C8" s="15">
        <v>40</v>
      </c>
      <c r="D8" s="8"/>
      <c r="E8" s="15"/>
      <c r="F8" s="8"/>
      <c r="G8" s="15"/>
      <c r="H8" s="6"/>
      <c r="I8" s="15"/>
      <c r="J8" s="15"/>
      <c r="K8" s="7">
        <f t="shared" si="0"/>
        <v>40</v>
      </c>
    </row>
    <row r="9" spans="1:11" ht="15" x14ac:dyDescent="0.25">
      <c r="A9" s="4">
        <v>46148</v>
      </c>
      <c r="B9" s="15">
        <v>230</v>
      </c>
      <c r="C9" s="15">
        <v>40</v>
      </c>
      <c r="D9" s="8">
        <v>3</v>
      </c>
      <c r="E9" s="15"/>
      <c r="F9" s="15"/>
      <c r="G9" s="15"/>
      <c r="H9" s="20"/>
      <c r="I9" s="15"/>
      <c r="J9" s="8"/>
      <c r="K9" s="7">
        <f t="shared" si="0"/>
        <v>273</v>
      </c>
    </row>
    <row r="10" spans="1:11" ht="15" x14ac:dyDescent="0.25">
      <c r="A10" s="4">
        <v>46149</v>
      </c>
      <c r="B10" s="6"/>
      <c r="C10" s="15">
        <v>40</v>
      </c>
      <c r="D10" s="6">
        <v>3</v>
      </c>
      <c r="E10" s="14"/>
      <c r="F10" s="6">
        <v>395</v>
      </c>
      <c r="G10" s="14"/>
      <c r="H10" s="6"/>
      <c r="I10" s="14"/>
      <c r="J10" s="6"/>
      <c r="K10" s="7">
        <f>SUM(B10:J10)</f>
        <v>438</v>
      </c>
    </row>
    <row r="11" spans="1:11" ht="15" x14ac:dyDescent="0.25">
      <c r="A11" s="4">
        <v>46150</v>
      </c>
      <c r="B11" s="6">
        <v>330</v>
      </c>
      <c r="C11" s="15">
        <v>40</v>
      </c>
      <c r="D11" s="6">
        <v>3</v>
      </c>
      <c r="E11" s="14"/>
      <c r="F11" s="8"/>
      <c r="G11" s="14">
        <v>10</v>
      </c>
      <c r="H11" s="6"/>
      <c r="I11" s="14">
        <v>95</v>
      </c>
      <c r="J11" s="6"/>
      <c r="K11" s="7">
        <f t="shared" ref="K11" si="1">SUM(B11:J11)</f>
        <v>478</v>
      </c>
    </row>
    <row r="12" spans="1:11" ht="15" x14ac:dyDescent="0.25">
      <c r="A12" s="4">
        <v>46151</v>
      </c>
      <c r="B12" s="6"/>
      <c r="C12" s="15">
        <v>40</v>
      </c>
      <c r="D12" s="6">
        <v>9</v>
      </c>
      <c r="E12" s="14"/>
      <c r="F12" s="8"/>
      <c r="G12" s="14"/>
      <c r="H12" s="6"/>
      <c r="I12" s="14"/>
      <c r="J12" s="6"/>
      <c r="K12" s="7">
        <f>SUM(B12:J12)</f>
        <v>49</v>
      </c>
    </row>
    <row r="13" spans="1:11" ht="15" x14ac:dyDescent="0.25">
      <c r="A13" s="4">
        <v>46152</v>
      </c>
      <c r="B13" s="8"/>
      <c r="C13" s="15"/>
      <c r="D13" s="8"/>
      <c r="E13" s="15"/>
      <c r="F13" s="8"/>
      <c r="G13" s="15"/>
      <c r="H13" s="6"/>
      <c r="I13" s="15"/>
      <c r="J13" s="8"/>
      <c r="K13" s="7">
        <f t="shared" ref="K13" si="2">SUM(B13:J13)</f>
        <v>0</v>
      </c>
    </row>
    <row r="14" spans="1:11" ht="15.75" x14ac:dyDescent="0.25">
      <c r="A14" s="5" t="s">
        <v>7</v>
      </c>
      <c r="B14" s="7"/>
      <c r="C14" s="7"/>
      <c r="D14" s="7"/>
      <c r="E14" s="7"/>
      <c r="F14" s="7"/>
      <c r="G14" s="7"/>
      <c r="H14" s="7"/>
      <c r="I14" s="7"/>
      <c r="J14" s="7"/>
      <c r="K14" s="11">
        <f>SUM(K7:K13)</f>
        <v>1546</v>
      </c>
    </row>
    <row r="15" spans="1:11" x14ac:dyDescent="0.2">
      <c r="J15" s="2"/>
      <c r="K15" s="1"/>
    </row>
    <row r="16" spans="1:11" ht="15.75" x14ac:dyDescent="0.25">
      <c r="A16" s="29" t="s">
        <v>13</v>
      </c>
      <c r="B16" s="29"/>
      <c r="C16" s="29"/>
      <c r="D16" s="29"/>
      <c r="E16" s="29"/>
      <c r="F16" s="29"/>
      <c r="G16" s="29"/>
      <c r="H16" s="29"/>
      <c r="I16" s="29"/>
      <c r="J16" s="29"/>
      <c r="K16" s="29"/>
    </row>
    <row r="17" spans="1:13" ht="18" customHeight="1" x14ac:dyDescent="0.25">
      <c r="A17" s="18" t="s">
        <v>3</v>
      </c>
      <c r="B17" s="18" t="s">
        <v>12</v>
      </c>
      <c r="C17" s="18" t="s">
        <v>11</v>
      </c>
      <c r="D17" s="18" t="s">
        <v>10</v>
      </c>
      <c r="E17" s="18" t="s">
        <v>24</v>
      </c>
      <c r="F17" s="18" t="s">
        <v>30</v>
      </c>
      <c r="G17" s="18" t="s">
        <v>32</v>
      </c>
      <c r="H17" s="18" t="s">
        <v>28</v>
      </c>
      <c r="I17" s="18" t="s">
        <v>25</v>
      </c>
      <c r="J17" s="18" t="s">
        <v>23</v>
      </c>
      <c r="K17" s="18" t="s">
        <v>6</v>
      </c>
    </row>
    <row r="18" spans="1:13" ht="18" customHeight="1" x14ac:dyDescent="0.25">
      <c r="A18" s="4">
        <v>46146</v>
      </c>
      <c r="B18" s="8">
        <v>60</v>
      </c>
      <c r="C18" s="15">
        <v>15</v>
      </c>
      <c r="D18" s="8">
        <f>228+52</f>
        <v>280</v>
      </c>
      <c r="E18" s="15">
        <v>40</v>
      </c>
      <c r="F18" s="8"/>
      <c r="G18" s="18"/>
      <c r="H18" s="15"/>
      <c r="I18" s="15"/>
      <c r="J18" s="15"/>
      <c r="K18" s="7">
        <f t="shared" ref="K18:K20" si="3">SUM(B18:J18)</f>
        <v>395</v>
      </c>
    </row>
    <row r="19" spans="1:13" ht="18" customHeight="1" x14ac:dyDescent="0.25">
      <c r="A19" s="4">
        <v>46147</v>
      </c>
      <c r="B19" s="8"/>
      <c r="C19" s="15">
        <v>15</v>
      </c>
      <c r="D19" s="8"/>
      <c r="E19" s="15"/>
      <c r="F19" s="8"/>
      <c r="G19" s="15"/>
      <c r="H19" s="20"/>
      <c r="I19" s="15">
        <v>30</v>
      </c>
      <c r="J19" s="20"/>
      <c r="K19" s="7">
        <f t="shared" si="3"/>
        <v>45</v>
      </c>
    </row>
    <row r="20" spans="1:13" ht="18" customHeight="1" x14ac:dyDescent="0.25">
      <c r="A20" s="4">
        <v>46148</v>
      </c>
      <c r="B20" s="8">
        <v>86</v>
      </c>
      <c r="C20" s="15">
        <v>15</v>
      </c>
      <c r="D20" s="8"/>
      <c r="E20" s="15"/>
      <c r="F20" s="15"/>
      <c r="G20" s="15"/>
      <c r="H20" s="20"/>
      <c r="I20" s="15"/>
      <c r="J20" s="20"/>
      <c r="K20" s="7">
        <f t="shared" si="3"/>
        <v>101</v>
      </c>
    </row>
    <row r="21" spans="1:13" ht="15.95" customHeight="1" x14ac:dyDescent="0.25">
      <c r="A21" s="4">
        <v>46149</v>
      </c>
      <c r="B21" s="6">
        <v>84</v>
      </c>
      <c r="C21" s="15">
        <v>30</v>
      </c>
      <c r="D21" s="8">
        <v>78</v>
      </c>
      <c r="E21" s="14"/>
      <c r="F21" s="6"/>
      <c r="G21" s="14">
        <v>13</v>
      </c>
      <c r="H21" s="6"/>
      <c r="I21" s="14"/>
      <c r="J21" s="6"/>
      <c r="K21" s="7">
        <f>SUM(B21:J21)</f>
        <v>205</v>
      </c>
    </row>
    <row r="22" spans="1:13" ht="15.95" customHeight="1" x14ac:dyDescent="0.25">
      <c r="A22" s="4">
        <v>46150</v>
      </c>
      <c r="B22" s="6">
        <v>70</v>
      </c>
      <c r="C22" s="15">
        <v>40</v>
      </c>
      <c r="D22" s="8">
        <v>138</v>
      </c>
      <c r="E22" s="14"/>
      <c r="F22" s="8"/>
      <c r="G22" s="14"/>
      <c r="H22" s="6"/>
      <c r="I22" s="14"/>
      <c r="J22" s="6"/>
      <c r="K22" s="7">
        <f>SUM(B22:J22)</f>
        <v>248</v>
      </c>
    </row>
    <row r="23" spans="1:13" ht="15.95" customHeight="1" x14ac:dyDescent="0.25">
      <c r="A23" s="4">
        <v>46151</v>
      </c>
      <c r="B23" s="6">
        <v>105</v>
      </c>
      <c r="C23" s="15">
        <v>70</v>
      </c>
      <c r="D23" s="8"/>
      <c r="E23" s="14"/>
      <c r="F23" s="8"/>
      <c r="G23" s="14">
        <v>28</v>
      </c>
      <c r="H23" s="6"/>
      <c r="I23" s="14">
        <v>58</v>
      </c>
      <c r="J23" s="6"/>
      <c r="K23" s="7">
        <f>SUM(B23:J23)</f>
        <v>261</v>
      </c>
    </row>
    <row r="24" spans="1:13" ht="15.95" customHeight="1" x14ac:dyDescent="0.25">
      <c r="A24" s="4">
        <v>46152</v>
      </c>
      <c r="B24" s="8"/>
      <c r="C24" s="15"/>
      <c r="D24" s="8"/>
      <c r="E24" s="15"/>
      <c r="F24" s="8"/>
      <c r="G24" s="15"/>
      <c r="H24" s="8"/>
      <c r="I24" s="15"/>
      <c r="J24" s="8"/>
      <c r="K24" s="7">
        <f t="shared" ref="K24" si="4">SUM(B24:J24)</f>
        <v>0</v>
      </c>
    </row>
    <row r="25" spans="1:13" ht="18" customHeight="1" x14ac:dyDescent="0.25">
      <c r="A25" s="5" t="s">
        <v>7</v>
      </c>
      <c r="B25" s="7"/>
      <c r="C25" s="7"/>
      <c r="D25" s="7"/>
      <c r="E25" s="7"/>
      <c r="F25" s="7"/>
      <c r="G25" s="7"/>
      <c r="H25" s="7"/>
      <c r="I25" s="7"/>
      <c r="J25" s="7"/>
      <c r="K25" s="11">
        <f>SUM(K18:K24)</f>
        <v>1255</v>
      </c>
    </row>
    <row r="26" spans="1:13" ht="15" x14ac:dyDescent="0.25">
      <c r="A26" s="23" t="s">
        <v>3</v>
      </c>
      <c r="B26" s="23" t="s">
        <v>20</v>
      </c>
      <c r="C26" s="23" t="s">
        <v>21</v>
      </c>
      <c r="D26" s="18" t="s">
        <v>6</v>
      </c>
      <c r="M26" s="9"/>
    </row>
    <row r="27" spans="1:13" ht="15" x14ac:dyDescent="0.25">
      <c r="A27" s="4">
        <v>46146</v>
      </c>
      <c r="B27" s="21"/>
      <c r="C27" s="25"/>
      <c r="D27" s="7">
        <f>B27+C27</f>
        <v>0</v>
      </c>
      <c r="J27" s="19" t="s">
        <v>8</v>
      </c>
      <c r="K27" s="11">
        <f>K14+K25</f>
        <v>2801</v>
      </c>
    </row>
    <row r="28" spans="1:13" ht="15" x14ac:dyDescent="0.25">
      <c r="A28" s="4">
        <v>46147</v>
      </c>
      <c r="B28" s="28"/>
      <c r="C28" s="25"/>
      <c r="D28" s="7">
        <f t="shared" ref="D28:D33" si="5">B28+C28</f>
        <v>0</v>
      </c>
      <c r="J28" s="19" t="s">
        <v>9</v>
      </c>
      <c r="K28" s="11">
        <f>D34</f>
        <v>1400</v>
      </c>
    </row>
    <row r="29" spans="1:13" ht="15" x14ac:dyDescent="0.25">
      <c r="A29" s="4">
        <v>46148</v>
      </c>
      <c r="B29" s="22">
        <v>500</v>
      </c>
      <c r="C29" s="26"/>
      <c r="D29" s="7">
        <f t="shared" si="5"/>
        <v>500</v>
      </c>
      <c r="J29" s="19"/>
      <c r="K29" s="16"/>
      <c r="M29" s="12"/>
    </row>
    <row r="30" spans="1:13" ht="15" x14ac:dyDescent="0.25">
      <c r="A30" s="4">
        <v>46149</v>
      </c>
      <c r="B30" s="10"/>
      <c r="C30" s="27"/>
      <c r="D30" s="7">
        <f t="shared" si="5"/>
        <v>0</v>
      </c>
      <c r="J30" s="19" t="s">
        <v>19</v>
      </c>
      <c r="K30" s="11" t="e">
        <f>#REF!</f>
        <v>#REF!</v>
      </c>
    </row>
    <row r="31" spans="1:13" ht="15" x14ac:dyDescent="0.25">
      <c r="A31" s="4">
        <v>46150</v>
      </c>
      <c r="B31" s="10">
        <v>200</v>
      </c>
      <c r="C31" s="27">
        <v>700</v>
      </c>
      <c r="D31" s="7">
        <f t="shared" si="5"/>
        <v>900</v>
      </c>
      <c r="J31" s="19" t="s">
        <v>16</v>
      </c>
      <c r="K31" s="24" t="e">
        <f>K28-K27+K30</f>
        <v>#REF!</v>
      </c>
    </row>
    <row r="32" spans="1:13" ht="15" x14ac:dyDescent="0.25">
      <c r="A32" s="4">
        <v>46151</v>
      </c>
      <c r="B32" s="10"/>
      <c r="C32" s="27"/>
      <c r="D32" s="7">
        <f t="shared" si="5"/>
        <v>0</v>
      </c>
    </row>
    <row r="33" spans="1:4" ht="15" x14ac:dyDescent="0.25">
      <c r="A33" s="4">
        <v>46152</v>
      </c>
      <c r="B33" s="10"/>
      <c r="C33" s="27"/>
      <c r="D33" s="7">
        <f t="shared" si="5"/>
        <v>0</v>
      </c>
    </row>
    <row r="34" spans="1:4" ht="15.75" x14ac:dyDescent="0.25">
      <c r="C34" s="17" t="s">
        <v>7</v>
      </c>
      <c r="D34" s="11">
        <f>SUM(D27:D33)</f>
        <v>1400</v>
      </c>
    </row>
  </sheetData>
  <mergeCells count="2">
    <mergeCell ref="A5:K5"/>
    <mergeCell ref="A16:K16"/>
  </mergeCells>
  <pageMargins left="3.937007874015748E-2" right="3.937007874015748E-2" top="0.35433070866141736" bottom="0.15748031496062992" header="0.31496062992125984" footer="0.31496062992125984"/>
  <pageSetup orientation="landscape" horizontalDpi="0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cp:lastPrinted>2026-05-11T11:42:51Z</cp:lastPrinted>
  <dcterms:created xsi:type="dcterms:W3CDTF">2023-10-10T15:02:34Z</dcterms:created>
  <dcterms:modified xsi:type="dcterms:W3CDTF">2026-05-12T00:57:15Z</dcterms:modified>
</cp:coreProperties>
</file>